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 &quot;mi&quot;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0" customWidth="1" min="3" max="3"/>
  </cols>
  <sheetData>
    <row r="1">
      <c r="A1" s="1" t="inlineStr">
        <is>
          <t>Revenue</t>
        </is>
      </c>
      <c r="B1" s="1" t="inlineStr">
        <is>
          <t>Value</t>
        </is>
      </c>
      <c r="C1" s="1" t="inlineStr">
        <is>
          <t>Formula / Calculation</t>
        </is>
      </c>
    </row>
    <row r="2">
      <c r="A2" t="inlineStr">
        <is>
          <t>Empty miles per ride</t>
        </is>
      </c>
      <c r="B2" s="2">
        <f>0.30*6</f>
        <v/>
      </c>
      <c r="C2" t="inlineStr">
        <is>
          <t>0.30 × 6 paid miles</t>
        </is>
      </c>
    </row>
    <row r="3">
      <c r="A3" t="inlineStr">
        <is>
          <t>Total distance per ride cycle</t>
        </is>
      </c>
      <c r="B3" s="2">
        <f>6+B2</f>
        <v/>
      </c>
      <c r="C3" t="inlineStr">
        <is>
          <t>6 paid + 1.8 empty</t>
        </is>
      </c>
    </row>
    <row r="4">
      <c r="A4" t="inlineStr">
        <is>
          <t>Driving time per ride cycle (hours)</t>
        </is>
      </c>
      <c r="B4" s="3">
        <f>B3/25</f>
        <v/>
      </c>
      <c r="C4" t="inlineStr">
        <is>
          <t>7.8 miles ÷ 25 mph</t>
        </is>
      </c>
    </row>
    <row r="5">
      <c r="A5" t="inlineStr">
        <is>
          <t>Loading + unloading time (hours)</t>
        </is>
      </c>
      <c r="B5" s="4">
        <f>3/60</f>
        <v/>
      </c>
      <c r="C5" t="inlineStr">
        <is>
          <t>3 minutes = 0.05 hours</t>
        </is>
      </c>
    </row>
    <row r="6">
      <c r="A6" t="inlineStr">
        <is>
          <t>Total time per ride cycle (hours)</t>
        </is>
      </c>
      <c r="B6" s="3">
        <f>B4+B5</f>
        <v/>
      </c>
      <c r="C6" t="inlineStr">
        <is>
          <t>0.312 + 0.05</t>
        </is>
      </c>
    </row>
    <row r="7">
      <c r="A7" t="inlineStr">
        <is>
          <t>Rides per uptime hour</t>
        </is>
      </c>
      <c r="B7" s="4">
        <f>1/B6</f>
        <v/>
      </c>
      <c r="C7" t="inlineStr">
        <is>
          <t>1 hour ÷ 0.362 hours</t>
        </is>
      </c>
    </row>
    <row r="8">
      <c r="A8" t="inlineStr">
        <is>
          <t>Paid miles per uptime hour</t>
        </is>
      </c>
      <c r="B8" s="4">
        <f>B7*6</f>
        <v/>
      </c>
      <c r="C8" t="inlineStr">
        <is>
          <t>2.76 rides × 6 miles</t>
        </is>
      </c>
    </row>
    <row r="9">
      <c r="A9" t="inlineStr">
        <is>
          <t>Base fare revenue per uptime hour</t>
        </is>
      </c>
      <c r="B9" s="5">
        <f>B7*1</f>
        <v/>
      </c>
      <c r="C9" t="inlineStr">
        <is>
          <t>2.76 rides × $1</t>
        </is>
      </c>
    </row>
    <row r="10">
      <c r="A10" t="inlineStr">
        <is>
          <t>Mileage revenue per uptime hour</t>
        </is>
      </c>
      <c r="B10" s="5">
        <f>B8*1</f>
        <v/>
      </c>
      <c r="C10" t="inlineStr">
        <is>
          <t>16.56 miles × $1 per mile</t>
        </is>
      </c>
    </row>
    <row r="11">
      <c r="A11" t="inlineStr">
        <is>
          <t>Gross fare revenue per uptime hour</t>
        </is>
      </c>
      <c r="B11" s="5">
        <f>B9+B10</f>
        <v/>
      </c>
      <c r="C11" t="inlineStr">
        <is>
          <t>$2.76 + $16.56</t>
        </is>
      </c>
    </row>
    <row r="12">
      <c r="A12" t="inlineStr">
        <is>
          <t>Uptime hours per day</t>
        </is>
      </c>
      <c r="B12" s="4">
        <f>24*0.42</f>
        <v/>
      </c>
      <c r="C12" t="inlineStr">
        <is>
          <t>24 × 0.42</t>
        </is>
      </c>
    </row>
    <row r="13">
      <c r="A13" t="inlineStr">
        <is>
          <t>Gross revenue per day</t>
        </is>
      </c>
      <c r="B13" s="5">
        <f>B11*B12</f>
        <v/>
      </c>
      <c r="C13" t="inlineStr">
        <is>
          <t>$19.32 × 10.08</t>
        </is>
      </c>
    </row>
    <row r="14">
      <c r="A14" s="1" t="inlineStr">
        <is>
          <t>Revenue (per month)</t>
        </is>
      </c>
      <c r="B14" s="6">
        <f>B13*365/12</f>
        <v/>
      </c>
      <c r="C14" t="inlineStr">
        <is>
          <t>$194.75 × 365 ÷ 12</t>
        </is>
      </c>
    </row>
    <row r="15">
      <c r="A1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2026-10-03T13:54:18Z</dcterms:created>
  <dcterms:modified xmlns:dcterms="http://purl.org/dc/terms/" xmlns:xsi="http://www.w3.org/2001/XMLSchema-instance" xsi:type="dcterms:W3CDTF">2026-10-03T13:54:18Z</dcterms:modified>
</cp:coreProperties>
</file>